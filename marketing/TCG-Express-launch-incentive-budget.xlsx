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런칭 인센티브 예산" sheetId="1" state="visible" r:id="rId1"/>
    <sheet xmlns:r="http://schemas.openxmlformats.org/officeDocument/2006/relationships" name="공정성 메모" sheetId="2" state="visible" r:id="rId2"/>
    <sheet xmlns:r="http://schemas.openxmlformats.org/officeDocument/2006/relationships" name="지급 일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$&quot;#,##0"/>
    <numFmt numFmtId="165" formatCode="0.0"/>
    <numFmt numFmtId="166" formatCode="&quot;S$&quot;#,##0.0"/>
  </numFmts>
  <fonts count="12">
    <font>
      <name val="Calibri"/>
      <family val="2"/>
      <color theme="1"/>
      <sz val="11"/>
      <scheme val="minor"/>
    </font>
    <font>
      <name val="Arial Black"/>
      <color rgb="FF0B1428"/>
      <sz val="14"/>
    </font>
    <font>
      <color rgb="FF6B8299"/>
      <sz val="9"/>
    </font>
    <font>
      <b val="1"/>
      <color rgb="FFFFFFFF"/>
      <sz val="10"/>
    </font>
    <font>
      <b val="1"/>
    </font>
    <font>
      <b val="1"/>
      <color rgb="FFFFFFFF"/>
      <sz val="9"/>
    </font>
    <font>
      <b val="1"/>
      <sz val="11"/>
    </font>
    <font>
      <name val="Arial Black"/>
      <color rgb="FF0B1428"/>
      <sz val="13"/>
    </font>
    <font>
      <b val="1"/>
      <color rgb="FFC0392B"/>
    </font>
    <font>
      <b val="1"/>
      <color rgb="FF1B7F4B"/>
    </font>
    <font>
      <b val="1"/>
      <color rgb="FF16202F"/>
    </font>
    <font>
      <name val="Arial Black"/>
      <color rgb="FFC0392B"/>
      <sz val="11"/>
    </font>
  </fonts>
  <fills count="7">
    <fill>
      <patternFill/>
    </fill>
    <fill>
      <patternFill patternType="gray125"/>
    </fill>
    <fill>
      <patternFill patternType="solid">
        <fgColor rgb="FF0B1428"/>
      </patternFill>
    </fill>
    <fill>
      <patternFill patternType="solid">
        <fgColor rgb="FFFFF6DA"/>
      </patternFill>
    </fill>
    <fill>
      <patternFill patternType="solid">
        <fgColor rgb="FF2F4257"/>
      </patternFill>
    </fill>
    <fill>
      <patternFill patternType="solid">
        <fgColor rgb="FFEAF6FE"/>
      </patternFill>
    </fill>
    <fill>
      <patternFill patternType="solid">
        <fgColor rgb="FFF7FAFD"/>
      </patternFill>
    </fill>
  </fills>
  <borders count="2">
    <border>
      <left/>
      <right/>
      <top/>
      <bottom/>
      <diagonal/>
    </border>
    <border>
      <left style="thin">
        <color rgb="FFDCE5EE"/>
      </left>
      <right style="thin">
        <color rgb="FFDCE5EE"/>
      </right>
      <top style="thin">
        <color rgb="FFDCE5EE"/>
      </top>
      <bottom style="thin">
        <color rgb="FFDCE5E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9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4" fillId="0" borderId="1" pivotButton="0" quotePrefix="0" xfId="0"/>
    <xf numFmtId="0" fontId="6" fillId="5" borderId="1" pivotButton="0" quotePrefix="0" xfId="0"/>
    <xf numFmtId="0" fontId="0" fillId="5" borderId="1" pivotButton="0" quotePrefix="0" xfId="0"/>
    <xf numFmtId="164" fontId="7" fillId="5" borderId="1" pivotButton="0" quotePrefix="0" xfId="0"/>
    <xf numFmtId="164" fontId="8" fillId="0" borderId="1" pivotButton="0" quotePrefix="0" xfId="0"/>
    <xf numFmtId="9" fontId="8" fillId="0" borderId="1" pivotButton="0" quotePrefix="0" xfId="0"/>
    <xf numFmtId="164" fontId="9" fillId="0" borderId="1" pivotButton="0" quotePrefix="0" xfId="0"/>
    <xf numFmtId="164" fontId="10" fillId="0" borderId="1" pivotButton="0" quotePrefix="0" xfId="0"/>
    <xf numFmtId="1" fontId="10" fillId="0" borderId="1" pivotButton="0" quotePrefix="0" xfId="0"/>
    <xf numFmtId="166" fontId="10" fillId="0" borderId="1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0" fillId="6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46" customWidth="1" min="5" max="5"/>
  </cols>
  <sheetData>
    <row r="1">
      <c r="A1" s="1" t="inlineStr">
        <is>
          <t>TCG EXPRESS — 30일 런칭 인센티브 예산 모델</t>
        </is>
      </c>
    </row>
    <row r="2">
      <c r="A2" s="2" t="inlineStr">
        <is>
          <t>노란 칸만 바꾸면 전체가 자동 재계산됩니다. 기간 2026-09-01~09-30. 통화 SGD. 드라이버 수는 2026-08-29 DB 실측치.</t>
        </is>
      </c>
    </row>
    <row r="3"/>
    <row r="4">
      <c r="A4" s="3" t="inlineStr">
        <is>
          <t>가정 — 드라이버 (총 40명)</t>
        </is>
      </c>
      <c r="B4" s="4" t="n"/>
      <c r="C4" s="4" t="n"/>
      <c r="D4" s="4" t="n"/>
      <c r="E4" s="4" t="n"/>
    </row>
    <row r="5">
      <c r="A5" s="5" t="inlineStr">
        <is>
          <t>총 드라이버 수</t>
        </is>
      </c>
      <c r="B5" s="6" t="n">
        <v>66</v>
      </c>
      <c r="C5" s="7" t="inlineStr">
        <is>
          <t>DB 실측 8/29: approved 57(중 테스트 5) + pending 14. 실사용 66명</t>
        </is>
      </c>
      <c r="D5" s="5" t="n"/>
      <c r="E5" s="5" t="n"/>
    </row>
    <row r="6">
      <c r="A6" s="5" t="inlineStr">
        <is>
          <t>이미 앱 검증 완료된 인원</t>
        </is>
      </c>
      <c r="B6" s="6" t="n">
        <v>52</v>
      </c>
      <c r="C6" s="7" t="inlineStr">
        <is>
          <t>approved 57 - 테스트계정 5. 이 중 54명이 배송 0건, 2명 1~4건, 1명 5건+(웰컴보너스 정상 지급됨)</t>
        </is>
      </c>
      <c r="D6" s="5" t="n"/>
      <c r="E6" s="5" t="n"/>
    </row>
    <row r="7">
      <c r="A7" s="5" t="inlineStr">
        <is>
          <t>미검증 인원</t>
        </is>
      </c>
      <c r="B7" s="8">
        <f>B5-B6</f>
        <v/>
      </c>
      <c r="C7" s="7" t="inlineStr">
        <is>
          <t>자동 계산</t>
        </is>
      </c>
      <c r="D7" s="5" t="n"/>
      <c r="E7" s="5" t="n"/>
    </row>
    <row r="8">
      <c r="A8" s="5" t="inlineStr">
        <is>
          <t>미검증자의 검증 완료율</t>
        </is>
      </c>
      <c r="B8" s="9" t="n">
        <v>0.7</v>
      </c>
      <c r="C8" s="7" t="inlineStr">
        <is>
          <t>9/7까지 서류 승인 도달</t>
        </is>
      </c>
      <c r="D8" s="5" t="n"/>
      <c r="E8" s="5" t="n"/>
    </row>
    <row r="9">
      <c r="A9" s="5" t="inlineStr">
        <is>
          <t>검증자 전체 중 첫 배송 완료율</t>
        </is>
      </c>
      <c r="B9" s="9" t="n">
        <v>0.35</v>
      </c>
      <c r="C9" s="7" t="inlineStr">
        <is>
          <t>실측 근거: 실고객 주문은 82건 중 9건뿐, 최근 주문 8/9. 병목은 드라이버가 아니라 수요</t>
        </is>
      </c>
      <c r="D9" s="5" t="n"/>
      <c r="E9" s="5" t="n"/>
    </row>
    <row r="10">
      <c r="A10" s="5" t="inlineStr">
        <is>
          <t>검증자 전체 중 5건 도달률</t>
        </is>
      </c>
      <c r="B10" s="9" t="n">
        <v>0.15</v>
      </c>
      <c r="C10" s="7" t="inlineStr">
        <is>
          <t>★ 하향 조정. 30일 내 5건은 지금 수요로는 소수만 도달</t>
        </is>
      </c>
      <c r="D10" s="5" t="n"/>
      <c r="E10" s="5" t="n"/>
    </row>
    <row r="11">
      <c r="A11" s="5" t="inlineStr">
        <is>
          <t>이미 검증된 인원에게도 S$20 지급?</t>
        </is>
      </c>
      <c r="B11" s="6" t="n">
        <v>1</v>
      </c>
      <c r="C11" s="7" t="inlineStr">
        <is>
          <t>1=지급, 0=미지급. 아래 '공정성 메모' 참조</t>
        </is>
      </c>
      <c r="D11" s="5" t="n"/>
      <c r="E11" s="5" t="n"/>
    </row>
    <row r="13">
      <c r="A13" s="3" t="inlineStr">
        <is>
          <t>가정 — 리퍼럴 파트너 (C안 승인)</t>
        </is>
      </c>
      <c r="B13" s="4" t="n"/>
      <c r="C13" s="4" t="n"/>
      <c r="D13" s="4" t="n"/>
      <c r="E13" s="4" t="n"/>
    </row>
    <row r="14">
      <c r="A14" s="5" t="inlineStr">
        <is>
          <t>파트너 수</t>
        </is>
      </c>
      <c r="B14" s="6" t="n">
        <v>5</v>
      </c>
      <c r="C14" s="7" t="inlineStr">
        <is>
          <t>첫 30일 5명으로 시작</t>
        </is>
      </c>
      <c r="D14" s="5" t="n"/>
      <c r="E14" s="5" t="n"/>
    </row>
    <row r="15">
      <c r="A15" s="5" t="inlineStr">
        <is>
          <t>파트너당 월 검증 가입 수</t>
        </is>
      </c>
      <c r="B15" s="6" t="n">
        <v>8</v>
      </c>
      <c r="C15" s="7" t="inlineStr"/>
      <c r="D15" s="5" t="n"/>
      <c r="E15" s="5" t="n"/>
    </row>
    <row r="16">
      <c r="A16" s="5" t="inlineStr">
        <is>
          <t>가입 → 첫 유료배송 전환율</t>
        </is>
      </c>
      <c r="B16" s="9" t="n">
        <v>0.45</v>
      </c>
      <c r="C16" s="7" t="inlineStr">
        <is>
          <t>30일 내</t>
        </is>
      </c>
      <c r="D16" s="5" t="n"/>
      <c r="E16" s="5" t="n"/>
    </row>
    <row r="18">
      <c r="A18" s="3" t="inlineStr">
        <is>
          <t>가정 — 스트리트 프로모터</t>
        </is>
      </c>
      <c r="B18" s="4" t="n"/>
      <c r="C18" s="4" t="n"/>
      <c r="D18" s="4" t="n"/>
      <c r="E18" s="4" t="n"/>
    </row>
    <row r="19">
      <c r="A19" s="5" t="inlineStr">
        <is>
          <t>프로모터 수</t>
        </is>
      </c>
      <c r="B19" s="6" t="n">
        <v>8</v>
      </c>
      <c r="C19" s="7" t="inlineStr">
        <is>
          <t>8명으로 시작 → 2주 성과 확인 후 15명까지 증원 (스캇님 승인)</t>
        </is>
      </c>
      <c r="D19" s="5" t="n"/>
      <c r="E19" s="5" t="n"/>
    </row>
    <row r="20">
      <c r="A20" s="5" t="inlineStr">
        <is>
          <t>1인당 주 교대 횟수</t>
        </is>
      </c>
      <c r="B20" s="6" t="n">
        <v>2</v>
      </c>
      <c r="C20" s="7" t="inlineStr"/>
      <c r="D20" s="5" t="n"/>
      <c r="E20" s="5" t="n"/>
    </row>
    <row r="21">
      <c r="A21" s="5" t="inlineStr">
        <is>
          <t>기간 (주)</t>
        </is>
      </c>
      <c r="B21" s="6" t="n">
        <v>4</v>
      </c>
      <c r="C21" s="7" t="inlineStr"/>
      <c r="D21" s="5" t="n"/>
      <c r="E21" s="5" t="n"/>
    </row>
    <row r="22">
      <c r="A22" s="5" t="inlineStr">
        <is>
          <t>교대당 시간</t>
        </is>
      </c>
      <c r="B22" s="6" t="n">
        <v>4</v>
      </c>
      <c r="C22" s="7" t="inlineStr"/>
      <c r="D22" s="5" t="n"/>
      <c r="E22" s="5" t="n"/>
    </row>
    <row r="23">
      <c r="A23" s="5" t="inlineStr">
        <is>
          <t>시급</t>
        </is>
      </c>
      <c r="B23" s="10" t="n">
        <v>12</v>
      </c>
      <c r="C23" s="7" t="inlineStr"/>
      <c r="D23" s="5" t="n"/>
      <c r="E23" s="5" t="n"/>
    </row>
    <row r="24">
      <c r="A24" s="5" t="inlineStr">
        <is>
          <t>교대당 평균 가입 건수</t>
        </is>
      </c>
      <c r="B24" s="6" t="n">
        <v>3</v>
      </c>
      <c r="C24" s="7" t="inlineStr"/>
      <c r="D24" s="5" t="n"/>
      <c r="E24" s="5" t="n"/>
    </row>
    <row r="26">
      <c r="A26" s="3" t="inlineStr">
        <is>
          <t>단가 (승인됨)</t>
        </is>
      </c>
      <c r="B26" s="4" t="n"/>
      <c r="C26" s="4" t="n"/>
      <c r="D26" s="4" t="n"/>
      <c r="E26" s="4" t="n"/>
    </row>
    <row r="27">
      <c r="A27" s="5" t="inlineStr">
        <is>
          <t>파트너 — 검증 가입</t>
        </is>
      </c>
      <c r="B27" s="10" t="n">
        <v>20</v>
      </c>
      <c r="C27" s="7" t="inlineStr">
        <is>
          <t>C안</t>
        </is>
      </c>
      <c r="D27" s="5" t="n"/>
      <c r="E27" s="5" t="n"/>
    </row>
    <row r="28">
      <c r="A28" s="5" t="inlineStr">
        <is>
          <t>파트너 — 첫 유료배송</t>
        </is>
      </c>
      <c r="B28" s="10" t="n">
        <v>50</v>
      </c>
      <c r="C28" s="7" t="inlineStr">
        <is>
          <t>C안</t>
        </is>
      </c>
      <c r="D28" s="5" t="n"/>
      <c r="E28" s="5" t="n"/>
    </row>
    <row r="29">
      <c r="A29" s="5" t="inlineStr">
        <is>
          <t>드라이버 — 등록·검증</t>
        </is>
      </c>
      <c r="B29" s="10" t="n">
        <v>20</v>
      </c>
      <c r="C29" s="7" t="inlineStr">
        <is>
          <t>9/7 마감</t>
        </is>
      </c>
      <c r="D29" s="5" t="n"/>
      <c r="E29" s="5" t="n"/>
    </row>
    <row r="30">
      <c r="A30" s="5" t="inlineStr">
        <is>
          <t>드라이버 — 첫 배송</t>
        </is>
      </c>
      <c r="B30" s="10" t="n">
        <v>30</v>
      </c>
      <c r="C30" s="7" t="inlineStr">
        <is>
          <t>9/14 마감</t>
        </is>
      </c>
      <c r="D30" s="5" t="n"/>
      <c r="E30" s="5" t="n"/>
    </row>
    <row r="31">
      <c r="A31" s="5" t="inlineStr">
        <is>
          <t>드라이버 — 5건 웰컴보너스</t>
        </is>
      </c>
      <c r="B31" s="10" t="n">
        <v>50</v>
      </c>
      <c r="C31" s="7" t="inlineStr">
        <is>
          <t>기존 제도 유지</t>
        </is>
      </c>
      <c r="D31" s="5" t="n"/>
      <c r="E31" s="5" t="n"/>
    </row>
    <row r="32">
      <c r="A32" s="5" t="inlineStr">
        <is>
          <t>프로모터 — 가입 건당</t>
        </is>
      </c>
      <c r="B32" s="10" t="n">
        <v>2</v>
      </c>
      <c r="C32" s="7" t="inlineStr">
        <is>
          <t>기존 제도</t>
        </is>
      </c>
      <c r="D32" s="5" t="n"/>
      <c r="E32" s="5" t="n"/>
    </row>
    <row r="35">
      <c r="A35" s="3" t="inlineStr">
        <is>
          <t>결과 — 예상 비용</t>
        </is>
      </c>
      <c r="B35" s="4" t="n"/>
      <c r="C35" s="4" t="n"/>
      <c r="D35" s="4" t="n"/>
      <c r="E35" s="4" t="n"/>
    </row>
    <row r="36">
      <c r="A36" s="11" t="inlineStr">
        <is>
          <t>항목</t>
        </is>
      </c>
      <c r="B36" s="11" t="inlineStr">
        <is>
          <t>인원/건수</t>
        </is>
      </c>
      <c r="C36" s="11" t="inlineStr">
        <is>
          <t>단가</t>
        </is>
      </c>
      <c r="D36" s="11" t="inlineStr">
        <is>
          <t>금액</t>
        </is>
      </c>
      <c r="E36" s="11" t="inlineStr">
        <is>
          <t>비고</t>
        </is>
      </c>
    </row>
    <row r="37">
      <c r="A37" s="5" t="inlineStr">
        <is>
          <t>드라이버 — 신규 검증 보너스</t>
        </is>
      </c>
      <c r="B37" s="12">
        <f>B7*B8</f>
        <v/>
      </c>
      <c r="C37" s="13">
        <f>B29</f>
        <v/>
      </c>
      <c r="D37" s="14">
        <f>B37*C37</f>
        <v/>
      </c>
      <c r="E37" s="7" t="inlineStr">
        <is>
          <t>미검증자 중 9/7까지 완료</t>
        </is>
      </c>
    </row>
    <row r="38">
      <c r="A38" s="5" t="inlineStr">
        <is>
          <t>드라이버 — 기존 검증자 감사 지급</t>
        </is>
      </c>
      <c r="B38" s="12">
        <f>B6*B11</f>
        <v/>
      </c>
      <c r="C38" s="13">
        <f>B29</f>
        <v/>
      </c>
      <c r="D38" s="14">
        <f>B38*C38</f>
        <v/>
      </c>
      <c r="E38" s="7" t="inlineStr">
        <is>
          <t>이미 검증된 인원. 지급 여부는 위 스위치로 조정</t>
        </is>
      </c>
    </row>
    <row r="39">
      <c r="A39" s="5" t="inlineStr">
        <is>
          <t>드라이버 — 첫 배송 보너스</t>
        </is>
      </c>
      <c r="B39" s="12">
        <f>(B6+B7*B8)*B9</f>
        <v/>
      </c>
      <c r="C39" s="13">
        <f>B30</f>
        <v/>
      </c>
      <c r="D39" s="14">
        <f>B39*C39</f>
        <v/>
      </c>
      <c r="E39" s="7" t="inlineStr">
        <is>
          <t>9/14까지, 배송 14일 후 지급</t>
        </is>
      </c>
    </row>
    <row r="40">
      <c r="A40" s="5" t="inlineStr">
        <is>
          <t>드라이버 — 5건 웰컴보너스</t>
        </is>
      </c>
      <c r="B40" s="12">
        <f>(B6+B7*B8)*B10</f>
        <v/>
      </c>
      <c r="C40" s="13">
        <f>B31</f>
        <v/>
      </c>
      <c r="D40" s="14">
        <f>B40*C40</f>
        <v/>
      </c>
      <c r="E40" s="7" t="inlineStr">
        <is>
          <t>기존 제도</t>
        </is>
      </c>
    </row>
    <row r="41">
      <c r="A41" s="5" t="inlineStr">
        <is>
          <t>파트너 — 검증 가입</t>
        </is>
      </c>
      <c r="B41" s="12">
        <f>B14*B15</f>
        <v/>
      </c>
      <c r="C41" s="13">
        <f>B27</f>
        <v/>
      </c>
      <c r="D41" s="14">
        <f>B41*C41</f>
        <v/>
      </c>
      <c r="E41" s="7" t="inlineStr">
        <is>
          <t>14일 클로백 창</t>
        </is>
      </c>
    </row>
    <row r="42">
      <c r="A42" s="5" t="inlineStr">
        <is>
          <t>파트너 — 첫 유료배송</t>
        </is>
      </c>
      <c r="B42" s="12">
        <f>B14*B15*B16</f>
        <v/>
      </c>
      <c r="C42" s="13">
        <f>B28</f>
        <v/>
      </c>
      <c r="D42" s="14">
        <f>B42*C42</f>
        <v/>
      </c>
      <c r="E42" s="7" t="inlineStr">
        <is>
          <t>실제 매출 발생분</t>
        </is>
      </c>
    </row>
    <row r="43">
      <c r="A43" s="5" t="inlineStr">
        <is>
          <t>프로모터 — 시급</t>
        </is>
      </c>
      <c r="B43" s="12">
        <f>B19*B20*B21*B22</f>
        <v/>
      </c>
      <c r="C43" s="13">
        <f>B23</f>
        <v/>
      </c>
      <c r="D43" s="14">
        <f>B43*C43</f>
        <v/>
      </c>
      <c r="E43" s="7" t="inlineStr">
        <is>
          <t>★ 성과 무관 고정비</t>
        </is>
      </c>
    </row>
    <row r="44">
      <c r="A44" s="5" t="inlineStr">
        <is>
          <t>프로모터 — 가입 건당</t>
        </is>
      </c>
      <c r="B44" s="12">
        <f>B19*B20*B21*B24</f>
        <v/>
      </c>
      <c r="C44" s="13">
        <f>B32</f>
        <v/>
      </c>
      <c r="D44" s="14">
        <f>B44*C44</f>
        <v/>
      </c>
      <c r="E44" s="7" t="inlineStr"/>
    </row>
    <row r="46">
      <c r="A46" s="15" t="inlineStr">
        <is>
          <t>합계</t>
        </is>
      </c>
      <c r="B46" s="16" t="n"/>
      <c r="C46" s="16" t="n"/>
      <c r="D46" s="17">
        <f>SUM(D37:D44)</f>
        <v/>
      </c>
      <c r="E46" s="16" t="n"/>
    </row>
    <row r="48">
      <c r="A48" s="5" t="inlineStr">
        <is>
          <t>성과 무관 고정비 (프로모터 시급)</t>
        </is>
      </c>
      <c r="B48" s="5" t="n"/>
      <c r="C48" s="5" t="n"/>
      <c r="D48" s="18">
        <f>D43</f>
        <v/>
      </c>
      <c r="E48" s="7" t="inlineStr">
        <is>
          <t>성과가 0이어도 나감</t>
        </is>
      </c>
    </row>
    <row r="49">
      <c r="A49" s="5" t="inlineStr">
        <is>
          <t>고정비 비중</t>
        </is>
      </c>
      <c r="B49" s="5" t="n"/>
      <c r="C49" s="5" t="n"/>
      <c r="D49" s="19">
        <f>D48/D46</f>
        <v/>
      </c>
      <c r="E49" s="7" t="inlineStr"/>
    </row>
    <row r="50">
      <c r="A50" s="5" t="inlineStr">
        <is>
          <t>성과 연동 변동비</t>
        </is>
      </c>
      <c r="B50" s="5" t="n"/>
      <c r="C50" s="5" t="n"/>
      <c r="D50" s="20">
        <f>D46-D48</f>
        <v/>
      </c>
      <c r="E50" s="7" t="inlineStr">
        <is>
          <t>결과가 있을 때만 나감</t>
        </is>
      </c>
    </row>
    <row r="51">
      <c r="A51" s="5" t="inlineStr">
        <is>
          <t>드라이버 트랙 소계</t>
        </is>
      </c>
      <c r="B51" s="5" t="n"/>
      <c r="C51" s="5" t="n"/>
      <c r="D51" s="21">
        <f>SUM(D37:D40)</f>
        <v/>
      </c>
      <c r="E51" s="7" t="inlineStr">
        <is>
          <t>활성화 + 웰컴보너스</t>
        </is>
      </c>
    </row>
    <row r="52">
      <c r="A52" s="5" t="inlineStr">
        <is>
          <t>확보 예상 비즈니스 계정</t>
        </is>
      </c>
      <c r="B52" s="5" t="n"/>
      <c r="C52" s="5" t="n"/>
      <c r="D52" s="22">
        <f>B14*B15+B19*B20*B21*B24</f>
        <v/>
      </c>
      <c r="E52" s="7" t="inlineStr">
        <is>
          <t>파트너 + 프로모터</t>
        </is>
      </c>
    </row>
    <row r="53">
      <c r="A53" s="5" t="inlineStr">
        <is>
          <t>계정 1건당 총 획득비용</t>
        </is>
      </c>
      <c r="B53" s="5" t="n"/>
      <c r="C53" s="5" t="n"/>
      <c r="D53" s="23">
        <f>D46/D52</f>
        <v/>
      </c>
      <c r="E53" s="7" t="inlineStr">
        <is>
          <t>이 값이 계정 1건 예상수익보다 낮아야 함</t>
        </is>
      </c>
    </row>
    <row r="54">
      <c r="A54" s="5" t="inlineStr">
        <is>
          <t>활성 드라이버 1명당 비용</t>
        </is>
      </c>
      <c r="B54" s="5" t="n"/>
      <c r="C54" s="5" t="n"/>
      <c r="D54" s="23">
        <f>SUM(D37:D40)/(B6+B7*B8)</f>
        <v/>
      </c>
      <c r="E54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</cols>
  <sheetData>
    <row r="1">
      <c r="A1" s="24" t="inlineStr">
        <is>
          <t>이미 검증을 마친 드라이버를 어떻게 할 것인가</t>
        </is>
      </c>
    </row>
    <row r="3">
      <c r="A3" s="25" t="inlineStr">
        <is>
          <t>문제: S$20 검증 보너스는 아직 검증을 안 한 사람의 행동을 바꾸기 위한 돈입니다. 이미 검증을 마친 드라이버에게는 행동을 바꾸는 효과가 없습니다.</t>
        </is>
      </c>
    </row>
    <row r="4">
      <c r="A4" s="25" t="inlineStr"/>
    </row>
    <row r="5">
      <c r="A5" s="25" t="inlineStr">
        <is>
          <t>그런데 이들을 빼면 이렇게 됩니다 — 일찍 서류를 내고 몇 달을 기다린 사람은 0원, 지금 와서 서류를 내는 사람은 S$20. 드라이버 커뮤니티는 좁고, 이 이야기는 반드시 돕니다.</t>
        </is>
      </c>
    </row>
    <row r="6">
      <c r="A6" s="25" t="inlineStr"/>
    </row>
    <row r="7">
      <c r="A7" s="25" t="inlineStr">
        <is>
          <t>권장: 같은 S$20을 주되 이름을 바꾸십시오.</t>
        </is>
      </c>
    </row>
    <row r="8">
      <c r="A8" s="25" t="inlineStr">
        <is>
          <t xml:space="preserve">   신규 → 'Verification bonus' (검증 보너스)</t>
        </is>
      </c>
    </row>
    <row r="9">
      <c r="A9" s="25" t="inlineStr">
        <is>
          <t xml:space="preserve">   기존 → 'Thank you for waiting' (대기 감사금)</t>
        </is>
      </c>
    </row>
    <row r="10">
      <c r="A10" s="25" t="inlineStr"/>
    </row>
    <row r="11">
      <c r="A11" s="25" t="inlineStr">
        <is>
          <t>비용은 동일합니다. 검증자 10명 기준 S$200. 대신 불만이 생길 자리에 충성도가 생깁니다. 몇 달을 아무 일감 없이 붙어 있어 준 사람들입니다.</t>
        </is>
      </c>
    </row>
    <row r="12">
      <c r="A12" s="25" t="inlineStr"/>
    </row>
    <row r="13">
      <c r="A13" s="25" t="inlineStr">
        <is>
          <t>발송도 분리하십시오. 기존 검증자에게 '앱을 설치하세요' 문구가 가면 우리가 자기 계정 상태도 모른다는 뜻이 됩니다. 문안은 launch-messages.md 참조.</t>
        </is>
      </c>
    </row>
    <row r="14">
      <c r="A14" s="25" t="inlineStr"/>
    </row>
    <row r="15">
      <c r="A15" s="25" t="inlineStr">
        <is>
          <t>★ 먼저 확인할 것: 40명 중 실제로 앱 검증까지 끝난 인원이 몇 명인지. 이 숫자에 따라 위 예산의 드라이버 라인이 바뀝니다.</t>
        </is>
      </c>
    </row>
  </sheetData>
  <mergeCells count="13">
    <mergeCell ref="A5:D5"/>
    <mergeCell ref="A9:D9"/>
    <mergeCell ref="A8:D8"/>
    <mergeCell ref="A6:D6"/>
    <mergeCell ref="A12:D12"/>
    <mergeCell ref="A4:D4"/>
    <mergeCell ref="A3:D3"/>
    <mergeCell ref="A15:D15"/>
    <mergeCell ref="A7:D7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0" customWidth="1" min="3" max="3"/>
    <col width="52" customWidth="1" min="4" max="4"/>
  </cols>
  <sheetData>
    <row r="1">
      <c r="A1" s="24" t="inlineStr">
        <is>
          <t>지급 캘린더 — 언제 돈이 나가는가</t>
        </is>
      </c>
    </row>
    <row r="3">
      <c r="A3" s="26" t="inlineStr">
        <is>
          <t>대상</t>
        </is>
      </c>
      <c r="B3" s="26" t="inlineStr">
        <is>
          <t>조건 충족</t>
        </is>
      </c>
      <c r="C3" s="26" t="inlineStr">
        <is>
          <t>지급일</t>
        </is>
      </c>
      <c r="D3" s="26" t="inlineStr">
        <is>
          <t>왜 늦추는가</t>
        </is>
      </c>
    </row>
    <row r="4">
      <c r="A4" s="27" t="inlineStr">
        <is>
          <t>드라이버 검증 S$20</t>
        </is>
      </c>
      <c r="B4" s="27" t="inlineStr">
        <is>
          <t>서류 승인 완료</t>
        </is>
      </c>
      <c r="C4" s="27" t="inlineStr">
        <is>
          <t>승인 후 첫 주간 PayNow</t>
        </is>
      </c>
      <c r="D4" s="27" t="inlineStr">
        <is>
          <t>지연 없음 — 병목을 빨리 풀어야 함</t>
        </is>
      </c>
    </row>
    <row r="5">
      <c r="A5" s="7" t="inlineStr">
        <is>
          <t>기존 검증자 감사금 S$20</t>
        </is>
      </c>
      <c r="B5" s="7" t="inlineStr">
        <is>
          <t>즉시</t>
        </is>
      </c>
      <c r="C5" s="7" t="inlineStr">
        <is>
          <t>9/1 주간 PayNow</t>
        </is>
      </c>
      <c r="D5" s="7" t="inlineStr">
        <is>
          <t>런칭 당일 지급이 메시지 효과 최대</t>
        </is>
      </c>
    </row>
    <row r="6">
      <c r="A6" s="27" t="inlineStr">
        <is>
          <t>드라이버 첫 배송 S$30</t>
        </is>
      </c>
      <c r="B6" s="27" t="inlineStr">
        <is>
          <t>유효 배송 1건</t>
        </is>
      </c>
      <c r="C6" s="27" t="inlineStr">
        <is>
          <t>배송 14일 후 PayNow</t>
        </is>
      </c>
      <c r="D6" s="27" t="inlineStr">
        <is>
          <t>취소·환불·가짜 건이 지급 전 걸러짐</t>
        </is>
      </c>
    </row>
    <row r="7">
      <c r="A7" s="7" t="inlineStr">
        <is>
          <t>드라이버 5건 웰컴 S$50</t>
        </is>
      </c>
      <c r="B7" s="7" t="inlineStr">
        <is>
          <t>5건 완료</t>
        </is>
      </c>
      <c r="C7" s="7" t="inlineStr">
        <is>
          <t>완료 후 첫 주간 PayNow</t>
        </is>
      </c>
      <c r="D7" s="7" t="inlineStr">
        <is>
          <t>기존 제도 그대로</t>
        </is>
      </c>
    </row>
    <row r="8">
      <c r="A8" s="27" t="inlineStr">
        <is>
          <t>파트너 가입 S$20</t>
        </is>
      </c>
      <c r="B8" s="27" t="inlineStr">
        <is>
          <t>검증 가입</t>
        </is>
      </c>
      <c r="C8" s="27" t="inlineStr">
        <is>
          <t>가입 14일 후 PayNow</t>
        </is>
      </c>
      <c r="D8" s="27" t="inlineStr">
        <is>
          <t>14일 못 버티면 지급 자체가 없음 = 클로백 불필요</t>
        </is>
      </c>
    </row>
    <row r="9">
      <c r="A9" s="7" t="inlineStr">
        <is>
          <t>파트너 첫 배송 S$50</t>
        </is>
      </c>
      <c r="B9" s="7" t="inlineStr">
        <is>
          <t>해당 계정 첫 유료배송 청구</t>
        </is>
      </c>
      <c r="C9" s="7" t="inlineStr">
        <is>
          <t>청구 다음 주 PayNow</t>
        </is>
      </c>
      <c r="D9" s="7" t="inlineStr">
        <is>
          <t>실제 청구한 돈에서 나감</t>
        </is>
      </c>
    </row>
    <row r="10">
      <c r="A10" s="27" t="inlineStr">
        <is>
          <t>프로모터 시급</t>
        </is>
      </c>
      <c r="B10" s="27" t="inlineStr">
        <is>
          <t>교대 완료</t>
        </is>
      </c>
      <c r="C10" s="27" t="inlineStr">
        <is>
          <t>매주 PayNow</t>
        </is>
      </c>
      <c r="D10" s="27" t="inlineStr">
        <is>
          <t>성과 무관</t>
        </is>
      </c>
    </row>
    <row r="11">
      <c r="A11" s="7" t="inlineStr">
        <is>
          <t>프로모터 가입 S$2</t>
        </is>
      </c>
      <c r="B11" s="7" t="inlineStr">
        <is>
          <t>가입 발생</t>
        </is>
      </c>
      <c r="C11" s="7" t="inlineStr">
        <is>
          <t>매주 PayNow</t>
        </is>
      </c>
      <c r="D11" s="7" t="inlineStr">
        <is>
          <t>금액이 작아 클로백 불필요</t>
        </is>
      </c>
    </row>
    <row r="14">
      <c r="A14" s="28" t="inlineStr">
        <is>
          <t>중복 지급 주의</t>
        </is>
      </c>
    </row>
    <row r="15" ht="26" customHeight="1">
      <c r="A15" s="25" t="inlineStr">
        <is>
          <t>배송 1건이 파트너 S$50 + 드라이버 S$30을 동시에 발동시킬 수 있습니다. 앞선 가입 S$20·등록 S$20까지 치면 한 건에 최대 S$120.</t>
        </is>
      </c>
    </row>
    <row r="16" ht="26" customHeight="1">
      <c r="A16" s="25" t="inlineStr">
        <is>
          <t>이건 의도된 결과입니다 — 신규 계정과 신규 드라이버를 동시에 살린 배송이니까요. 예산에만 반영하면 됩니다.</t>
        </is>
      </c>
    </row>
    <row r="17" ht="26" customHeight="1">
      <c r="A17" s="25" t="inlineStr">
        <is>
          <t>예외: 드라이버가 본인 파트너 코드로 소개한 계정의 주문을 본인이 배송하는 경우. 자기거래이므로 둘 중 하나만 지급하거나 배송 보너스를 무효 처리해야 합니다.</t>
        </is>
      </c>
    </row>
  </sheetData>
  <mergeCells count="3">
    <mergeCell ref="A15:D15"/>
    <mergeCell ref="A17:D17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2026-08-29T03:27:15Z</dcterms:created>
  <dcterms:modified xmlns:dcterms="http://purl.org/dc/terms/" xmlns:xsi="http://www.w3.org/2001/XMLSchema-instance" xsi:type="dcterms:W3CDTF">2026-08-29T04:36:55Z</dcterms:modified>
</cp:coreProperties>
</file>
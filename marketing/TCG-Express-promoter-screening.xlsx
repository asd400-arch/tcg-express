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  <sheet xmlns:r="http://schemas.openxmlformats.org/officeDocument/2006/relationships" name="Scoring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 Black"/>
      <color rgb="FF0B1428"/>
      <sz val="15"/>
    </font>
    <font>
      <i val="1"/>
      <color rgb="FFC0392B"/>
      <sz val="9"/>
    </font>
    <font>
      <color rgb="FF6B8299"/>
      <sz val="9"/>
    </font>
    <font>
      <b val="1"/>
      <color rgb="FFFFFFFF"/>
      <sz val="9"/>
    </font>
    <font>
      <b val="1"/>
    </font>
    <font>
      <b val="1"/>
      <color rgb="FFFFFFFF"/>
    </font>
    <font/>
    <font>
      <b val="1"/>
      <color rgb="FFC0392B"/>
    </font>
    <font>
      <b val="1"/>
      <color rgb="FFC0392B"/>
      <sz val="13"/>
    </font>
    <font>
      <name val="Arial Black"/>
      <color rgb="FF0B1428"/>
      <sz val="13"/>
    </font>
  </fonts>
  <fills count="4">
    <fill>
      <patternFill/>
    </fill>
    <fill>
      <patternFill patternType="gray125"/>
    </fill>
    <fill>
      <patternFill patternType="solid">
        <fgColor rgb="FF0B1428"/>
      </patternFill>
    </fill>
    <fill>
      <patternFill patternType="solid">
        <fgColor rgb="FFF9FBFD"/>
      </patternFill>
    </fill>
  </fills>
  <borders count="2">
    <border>
      <left/>
      <right/>
      <top/>
      <bottom/>
      <diagonal/>
    </border>
    <border>
      <left style="thin">
        <color rgb="FFDCE5EE"/>
      </left>
      <right style="thin">
        <color rgb="FFDCE5EE"/>
      </right>
      <top style="thin">
        <color rgb="FFDCE5EE"/>
      </top>
      <bottom style="thin">
        <color rgb="FFDCE5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7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FF1B7F4B"/>
      </font>
      <fill>
        <patternFill patternType="solid">
          <fgColor rgb="FFD5F0E0"/>
        </patternFill>
      </fill>
    </dxf>
    <dxf>
      <font>
        <b val="1"/>
        <color rgb="FF8A6100"/>
      </font>
      <fill>
        <patternFill patternType="solid">
          <fgColor rgb="FFFDF1D6"/>
        </patternFill>
      </fill>
    </dxf>
    <dxf>
      <font>
        <b val="1"/>
        <color rgb="FFC0392B"/>
      </font>
      <fill>
        <patternFill patternType="solid">
          <fgColor rgb="FFFAE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7" customWidth="1" min="4" max="4"/>
    <col width="7" customWidth="1" min="5" max="5"/>
    <col width="7" customWidth="1" min="6" max="6"/>
    <col width="10" customWidth="1" min="7" max="7"/>
    <col width="10" customWidth="1" min="8" max="8"/>
    <col width="8" customWidth="1" min="9" max="9"/>
    <col width="7" customWidth="1" min="10" max="10"/>
    <col width="8" customWidth="1" min="11" max="11"/>
    <col width="11" customWidth="1" min="12" max="12"/>
    <col width="11" customWidth="1" min="13" max="13"/>
    <col width="40" customWidth="1" min="14" max="14"/>
    <col width="15" customWidth="1" min="16" max="16"/>
    <col width="9" customWidth="1" min="17" max="17"/>
  </cols>
  <sheetData>
    <row r="1">
      <c r="A1" s="1" t="inlineStr">
        <is>
          <t>TCG EXPRESS — PROMOTER SCREENING</t>
        </is>
      </c>
    </row>
    <row r="2">
      <c r="A2" s="2" t="inlineStr">
        <is>
          <t>Score only these six criteria. Do not record gender, age, race, religion, marital status or nationality anywhere in this file.</t>
        </is>
      </c>
    </row>
    <row r="3">
      <c r="A3" s="3" t="inlineStr">
        <is>
          <t>Target 15 promoters · Launch 1 September 2026 · Cut-off: 70+ HIRE / 55–69 BACKUP / under 55 NO</t>
        </is>
      </c>
    </row>
    <row r="5" ht="30" customHeight="1">
      <c r="A5" s="4" t="inlineStr">
        <is>
          <t>#</t>
        </is>
      </c>
      <c r="B5" s="4" t="inlineStr">
        <is>
          <t>Name</t>
        </is>
      </c>
      <c r="C5" s="4" t="inlineStr">
        <is>
          <t>Source</t>
        </is>
      </c>
      <c r="D5" s="4" t="inlineStr">
        <is>
          <t>Contact</t>
        </is>
      </c>
      <c r="E5" s="4" t="inlineStr">
        <is>
          <t>Avail
(25)</t>
        </is>
      </c>
      <c r="F5" s="4" t="inlineStr">
        <is>
          <t>Comms
(20)</t>
        </is>
      </c>
      <c r="G5" s="4" t="inlineStr">
        <is>
          <t>Experience
(15)</t>
        </is>
      </c>
      <c r="H5" s="4" t="inlineStr">
        <is>
          <t>Languages
(15)</t>
        </is>
      </c>
      <c r="I5" s="4" t="inlineStr">
        <is>
          <t>Commit
(15)</t>
        </is>
      </c>
      <c r="J5" s="4" t="inlineStr">
        <is>
          <t>Phone
(10)</t>
        </is>
      </c>
      <c r="K5" s="4" t="inlineStr">
        <is>
          <t>TOTAL</t>
        </is>
      </c>
      <c r="L5" s="4" t="inlineStr">
        <is>
          <t>DECISION</t>
        </is>
      </c>
      <c r="M5" s="4" t="inlineStr">
        <is>
          <t>Can start</t>
        </is>
      </c>
      <c r="N5" s="4" t="inlineStr">
        <is>
          <t>Notes</t>
        </is>
      </c>
      <c r="P5" s="5" t="inlineStr">
        <is>
          <t>RUNNING COUNT</t>
        </is>
      </c>
      <c r="Q5" s="6" t="inlineStr"/>
    </row>
    <row r="6">
      <c r="A6" s="7" t="n">
        <v>1</v>
      </c>
      <c r="B6" s="8" t="n"/>
      <c r="C6" s="8" t="n"/>
      <c r="D6" s="8" t="n"/>
      <c r="E6" s="7" t="n"/>
      <c r="F6" s="7" t="n"/>
      <c r="G6" s="7" t="n"/>
      <c r="H6" s="7" t="n"/>
      <c r="I6" s="7" t="n"/>
      <c r="J6" s="7" t="n"/>
      <c r="K6" s="9">
        <f>IF(COUNT(E6:J6)=0,"",SUM(E6:J6))</f>
        <v/>
      </c>
      <c r="L6" s="9">
        <f>IF(K6="","",IF(K6&gt;=70,"HIRE",IF(K6&gt;=55,"BACKUP","NO")))</f>
        <v/>
      </c>
      <c r="M6" s="8" t="n"/>
      <c r="N6" s="8" t="n"/>
      <c r="P6" s="10" t="inlineStr">
        <is>
          <t>Screened</t>
        </is>
      </c>
      <c r="Q6" s="9">
        <f>COUNT(K6:K35)</f>
        <v/>
      </c>
    </row>
    <row r="7">
      <c r="A7" s="11" t="n">
        <v>2</v>
      </c>
      <c r="B7" s="12" t="n"/>
      <c r="C7" s="12" t="n"/>
      <c r="D7" s="12" t="n"/>
      <c r="E7" s="11" t="n"/>
      <c r="F7" s="11" t="n"/>
      <c r="G7" s="11" t="n"/>
      <c r="H7" s="11" t="n"/>
      <c r="I7" s="11" t="n"/>
      <c r="J7" s="11" t="n"/>
      <c r="K7" s="13">
        <f>IF(COUNT(E7:J7)=0,"",SUM(E7:J7))</f>
        <v/>
      </c>
      <c r="L7" s="13">
        <f>IF(K7="","",IF(K7&gt;=70,"HIRE",IF(K7&gt;=55,"BACKUP","NO")))</f>
        <v/>
      </c>
      <c r="M7" s="12" t="n"/>
      <c r="N7" s="12" t="n"/>
      <c r="P7" s="14" t="inlineStr">
        <is>
          <t>HIRE</t>
        </is>
      </c>
      <c r="Q7" s="9">
        <f>COUNTIF(L6:L35,"HIRE")</f>
        <v/>
      </c>
    </row>
    <row r="8">
      <c r="A8" s="7" t="n">
        <v>3</v>
      </c>
      <c r="B8" s="8" t="n"/>
      <c r="C8" s="8" t="n"/>
      <c r="D8" s="8" t="n"/>
      <c r="E8" s="7" t="n"/>
      <c r="F8" s="7" t="n"/>
      <c r="G8" s="7" t="n"/>
      <c r="H8" s="7" t="n"/>
      <c r="I8" s="7" t="n"/>
      <c r="J8" s="7" t="n"/>
      <c r="K8" s="9">
        <f>IF(COUNT(E8:J8)=0,"",SUM(E8:J8))</f>
        <v/>
      </c>
      <c r="L8" s="9">
        <f>IF(K8="","",IF(K8&gt;=70,"HIRE",IF(K8&gt;=55,"BACKUP","NO")))</f>
        <v/>
      </c>
      <c r="M8" s="8" t="n"/>
      <c r="N8" s="8" t="n"/>
      <c r="P8" s="10" t="inlineStr">
        <is>
          <t>BACKUP</t>
        </is>
      </c>
      <c r="Q8" s="9">
        <f>COUNTIF(L6:L35,"BACKUP")</f>
        <v/>
      </c>
    </row>
    <row r="9">
      <c r="A9" s="11" t="n">
        <v>4</v>
      </c>
      <c r="B9" s="12" t="n"/>
      <c r="C9" s="12" t="n"/>
      <c r="D9" s="12" t="n"/>
      <c r="E9" s="11" t="n"/>
      <c r="F9" s="11" t="n"/>
      <c r="G9" s="11" t="n"/>
      <c r="H9" s="11" t="n"/>
      <c r="I9" s="11" t="n"/>
      <c r="J9" s="11" t="n"/>
      <c r="K9" s="13">
        <f>IF(COUNT(E9:J9)=0,"",SUM(E9:J9))</f>
        <v/>
      </c>
      <c r="L9" s="13">
        <f>IF(K9="","",IF(K9&gt;=70,"HIRE",IF(K9&gt;=55,"BACKUP","NO")))</f>
        <v/>
      </c>
      <c r="M9" s="12" t="n"/>
      <c r="N9" s="12" t="n"/>
      <c r="P9" s="10" t="inlineStr">
        <is>
          <t>NO</t>
        </is>
      </c>
      <c r="Q9" s="9">
        <f>COUNTIF(L6:L35,"NO")</f>
        <v/>
      </c>
    </row>
    <row r="10">
      <c r="A10" s="7" t="n">
        <v>5</v>
      </c>
      <c r="B10" s="8" t="n"/>
      <c r="C10" s="8" t="n"/>
      <c r="D10" s="8" t="n"/>
      <c r="E10" s="7" t="n"/>
      <c r="F10" s="7" t="n"/>
      <c r="G10" s="7" t="n"/>
      <c r="H10" s="7" t="n"/>
      <c r="I10" s="7" t="n"/>
      <c r="J10" s="7" t="n"/>
      <c r="K10" s="9">
        <f>IF(COUNT(E10:J10)=0,"",SUM(E10:J10))</f>
        <v/>
      </c>
      <c r="L10" s="9">
        <f>IF(K10="","",IF(K10&gt;=70,"HIRE",IF(K10&gt;=55,"BACKUP","NO")))</f>
        <v/>
      </c>
      <c r="M10" s="8" t="n"/>
      <c r="N10" s="8" t="n"/>
      <c r="P10" s="10" t="inlineStr">
        <is>
          <t>Target</t>
        </is>
      </c>
      <c r="Q10" s="9" t="n">
        <v>15</v>
      </c>
    </row>
    <row r="11">
      <c r="A11" s="11" t="n">
        <v>6</v>
      </c>
      <c r="B11" s="12" t="n"/>
      <c r="C11" s="12" t="n"/>
      <c r="D11" s="12" t="n"/>
      <c r="E11" s="11" t="n"/>
      <c r="F11" s="11" t="n"/>
      <c r="G11" s="11" t="n"/>
      <c r="H11" s="11" t="n"/>
      <c r="I11" s="11" t="n"/>
      <c r="J11" s="11" t="n"/>
      <c r="K11" s="13">
        <f>IF(COUNT(E11:J11)=0,"",SUM(E11:J11))</f>
        <v/>
      </c>
      <c r="L11" s="13">
        <f>IF(K11="","",IF(K11&gt;=70,"HIRE",IF(K11&gt;=55,"BACKUP","NO")))</f>
        <v/>
      </c>
      <c r="M11" s="12" t="n"/>
      <c r="N11" s="12" t="n"/>
      <c r="P11" s="15" t="inlineStr">
        <is>
          <t>Still needed</t>
        </is>
      </c>
      <c r="Q11" s="16">
        <f>MAX(0,15-COUNTIF(L6:L35,"HIRE"))</f>
        <v/>
      </c>
    </row>
    <row r="12">
      <c r="A12" s="7" t="n">
        <v>7</v>
      </c>
      <c r="B12" s="8" t="n"/>
      <c r="C12" s="8" t="n"/>
      <c r="D12" s="8" t="n"/>
      <c r="E12" s="7" t="n"/>
      <c r="F12" s="7" t="n"/>
      <c r="G12" s="7" t="n"/>
      <c r="H12" s="7" t="n"/>
      <c r="I12" s="7" t="n"/>
      <c r="J12" s="7" t="n"/>
      <c r="K12" s="9">
        <f>IF(COUNT(E12:J12)=0,"",SUM(E12:J12))</f>
        <v/>
      </c>
      <c r="L12" s="9">
        <f>IF(K12="","",IF(K12&gt;=70,"HIRE",IF(K12&gt;=55,"BACKUP","NO")))</f>
        <v/>
      </c>
      <c r="M12" s="8" t="n"/>
      <c r="N12" s="8" t="n"/>
    </row>
    <row r="13">
      <c r="A13" s="11" t="n">
        <v>8</v>
      </c>
      <c r="B13" s="12" t="n"/>
      <c r="C13" s="12" t="n"/>
      <c r="D13" s="12" t="n"/>
      <c r="E13" s="11" t="n"/>
      <c r="F13" s="11" t="n"/>
      <c r="G13" s="11" t="n"/>
      <c r="H13" s="11" t="n"/>
      <c r="I13" s="11" t="n"/>
      <c r="J13" s="11" t="n"/>
      <c r="K13" s="13">
        <f>IF(COUNT(E13:J13)=0,"",SUM(E13:J13))</f>
        <v/>
      </c>
      <c r="L13" s="13">
        <f>IF(K13="","",IF(K13&gt;=70,"HIRE",IF(K13&gt;=55,"BACKUP","NO")))</f>
        <v/>
      </c>
      <c r="M13" s="12" t="n"/>
      <c r="N13" s="12" t="n"/>
    </row>
    <row r="14">
      <c r="A14" s="7" t="n">
        <v>9</v>
      </c>
      <c r="B14" s="8" t="n"/>
      <c r="C14" s="8" t="n"/>
      <c r="D14" s="8" t="n"/>
      <c r="E14" s="7" t="n"/>
      <c r="F14" s="7" t="n"/>
      <c r="G14" s="7" t="n"/>
      <c r="H14" s="7" t="n"/>
      <c r="I14" s="7" t="n"/>
      <c r="J14" s="7" t="n"/>
      <c r="K14" s="9">
        <f>IF(COUNT(E14:J14)=0,"",SUM(E14:J14))</f>
        <v/>
      </c>
      <c r="L14" s="9">
        <f>IF(K14="","",IF(K14&gt;=70,"HIRE",IF(K14&gt;=55,"BACKUP","NO")))</f>
        <v/>
      </c>
      <c r="M14" s="8" t="n"/>
      <c r="N14" s="8" t="n"/>
    </row>
    <row r="15">
      <c r="A15" s="11" t="n">
        <v>10</v>
      </c>
      <c r="B15" s="12" t="n"/>
      <c r="C15" s="12" t="n"/>
      <c r="D15" s="12" t="n"/>
      <c r="E15" s="11" t="n"/>
      <c r="F15" s="11" t="n"/>
      <c r="G15" s="11" t="n"/>
      <c r="H15" s="11" t="n"/>
      <c r="I15" s="11" t="n"/>
      <c r="J15" s="11" t="n"/>
      <c r="K15" s="13">
        <f>IF(COUNT(E15:J15)=0,"",SUM(E15:J15))</f>
        <v/>
      </c>
      <c r="L15" s="13">
        <f>IF(K15="","",IF(K15&gt;=70,"HIRE",IF(K15&gt;=55,"BACKUP","NO")))</f>
        <v/>
      </c>
      <c r="M15" s="12" t="n"/>
      <c r="N15" s="12" t="n"/>
    </row>
    <row r="16">
      <c r="A16" s="7" t="n">
        <v>11</v>
      </c>
      <c r="B16" s="8" t="n"/>
      <c r="C16" s="8" t="n"/>
      <c r="D16" s="8" t="n"/>
      <c r="E16" s="7" t="n"/>
      <c r="F16" s="7" t="n"/>
      <c r="G16" s="7" t="n"/>
      <c r="H16" s="7" t="n"/>
      <c r="I16" s="7" t="n"/>
      <c r="J16" s="7" t="n"/>
      <c r="K16" s="9">
        <f>IF(COUNT(E16:J16)=0,"",SUM(E16:J16))</f>
        <v/>
      </c>
      <c r="L16" s="9">
        <f>IF(K16="","",IF(K16&gt;=70,"HIRE",IF(K16&gt;=55,"BACKUP","NO")))</f>
        <v/>
      </c>
      <c r="M16" s="8" t="n"/>
      <c r="N16" s="8" t="n"/>
    </row>
    <row r="17">
      <c r="A17" s="11" t="n">
        <v>12</v>
      </c>
      <c r="B17" s="12" t="n"/>
      <c r="C17" s="12" t="n"/>
      <c r="D17" s="12" t="n"/>
      <c r="E17" s="11" t="n"/>
      <c r="F17" s="11" t="n"/>
      <c r="G17" s="11" t="n"/>
      <c r="H17" s="11" t="n"/>
      <c r="I17" s="11" t="n"/>
      <c r="J17" s="11" t="n"/>
      <c r="K17" s="13">
        <f>IF(COUNT(E17:J17)=0,"",SUM(E17:J17))</f>
        <v/>
      </c>
      <c r="L17" s="13">
        <f>IF(K17="","",IF(K17&gt;=70,"HIRE",IF(K17&gt;=55,"BACKUP","NO")))</f>
        <v/>
      </c>
      <c r="M17" s="12" t="n"/>
      <c r="N17" s="12" t="n"/>
    </row>
    <row r="18">
      <c r="A18" s="7" t="n">
        <v>13</v>
      </c>
      <c r="B18" s="8" t="n"/>
      <c r="C18" s="8" t="n"/>
      <c r="D18" s="8" t="n"/>
      <c r="E18" s="7" t="n"/>
      <c r="F18" s="7" t="n"/>
      <c r="G18" s="7" t="n"/>
      <c r="H18" s="7" t="n"/>
      <c r="I18" s="7" t="n"/>
      <c r="J18" s="7" t="n"/>
      <c r="K18" s="9">
        <f>IF(COUNT(E18:J18)=0,"",SUM(E18:J18))</f>
        <v/>
      </c>
      <c r="L18" s="9">
        <f>IF(K18="","",IF(K18&gt;=70,"HIRE",IF(K18&gt;=55,"BACKUP","NO")))</f>
        <v/>
      </c>
      <c r="M18" s="8" t="n"/>
      <c r="N18" s="8" t="n"/>
    </row>
    <row r="19">
      <c r="A19" s="11" t="n">
        <v>14</v>
      </c>
      <c r="B19" s="12" t="n"/>
      <c r="C19" s="12" t="n"/>
      <c r="D19" s="12" t="n"/>
      <c r="E19" s="11" t="n"/>
      <c r="F19" s="11" t="n"/>
      <c r="G19" s="11" t="n"/>
      <c r="H19" s="11" t="n"/>
      <c r="I19" s="11" t="n"/>
      <c r="J19" s="11" t="n"/>
      <c r="K19" s="13">
        <f>IF(COUNT(E19:J19)=0,"",SUM(E19:J19))</f>
        <v/>
      </c>
      <c r="L19" s="13">
        <f>IF(K19="","",IF(K19&gt;=70,"HIRE",IF(K19&gt;=55,"BACKUP","NO")))</f>
        <v/>
      </c>
      <c r="M19" s="12" t="n"/>
      <c r="N19" s="12" t="n"/>
    </row>
    <row r="20">
      <c r="A20" s="7" t="n">
        <v>15</v>
      </c>
      <c r="B20" s="8" t="n"/>
      <c r="C20" s="8" t="n"/>
      <c r="D20" s="8" t="n"/>
      <c r="E20" s="7" t="n"/>
      <c r="F20" s="7" t="n"/>
      <c r="G20" s="7" t="n"/>
      <c r="H20" s="7" t="n"/>
      <c r="I20" s="7" t="n"/>
      <c r="J20" s="7" t="n"/>
      <c r="K20" s="9">
        <f>IF(COUNT(E20:J20)=0,"",SUM(E20:J20))</f>
        <v/>
      </c>
      <c r="L20" s="9">
        <f>IF(K20="","",IF(K20&gt;=70,"HIRE",IF(K20&gt;=55,"BACKUP","NO")))</f>
        <v/>
      </c>
      <c r="M20" s="8" t="n"/>
      <c r="N20" s="8" t="n"/>
    </row>
    <row r="21">
      <c r="A21" s="11" t="n">
        <v>16</v>
      </c>
      <c r="B21" s="12" t="n"/>
      <c r="C21" s="12" t="n"/>
      <c r="D21" s="12" t="n"/>
      <c r="E21" s="11" t="n"/>
      <c r="F21" s="11" t="n"/>
      <c r="G21" s="11" t="n"/>
      <c r="H21" s="11" t="n"/>
      <c r="I21" s="11" t="n"/>
      <c r="J21" s="11" t="n"/>
      <c r="K21" s="13">
        <f>IF(COUNT(E21:J21)=0,"",SUM(E21:J21))</f>
        <v/>
      </c>
      <c r="L21" s="13">
        <f>IF(K21="","",IF(K21&gt;=70,"HIRE",IF(K21&gt;=55,"BACKUP","NO")))</f>
        <v/>
      </c>
      <c r="M21" s="12" t="n"/>
      <c r="N21" s="12" t="n"/>
    </row>
    <row r="22">
      <c r="A22" s="7" t="n">
        <v>17</v>
      </c>
      <c r="B22" s="8" t="n"/>
      <c r="C22" s="8" t="n"/>
      <c r="D22" s="8" t="n"/>
      <c r="E22" s="7" t="n"/>
      <c r="F22" s="7" t="n"/>
      <c r="G22" s="7" t="n"/>
      <c r="H22" s="7" t="n"/>
      <c r="I22" s="7" t="n"/>
      <c r="J22" s="7" t="n"/>
      <c r="K22" s="9">
        <f>IF(COUNT(E22:J22)=0,"",SUM(E22:J22))</f>
        <v/>
      </c>
      <c r="L22" s="9">
        <f>IF(K22="","",IF(K22&gt;=70,"HIRE",IF(K22&gt;=55,"BACKUP","NO")))</f>
        <v/>
      </c>
      <c r="M22" s="8" t="n"/>
      <c r="N22" s="8" t="n"/>
    </row>
    <row r="23">
      <c r="A23" s="11" t="n">
        <v>18</v>
      </c>
      <c r="B23" s="12" t="n"/>
      <c r="C23" s="12" t="n"/>
      <c r="D23" s="12" t="n"/>
      <c r="E23" s="11" t="n"/>
      <c r="F23" s="11" t="n"/>
      <c r="G23" s="11" t="n"/>
      <c r="H23" s="11" t="n"/>
      <c r="I23" s="11" t="n"/>
      <c r="J23" s="11" t="n"/>
      <c r="K23" s="13">
        <f>IF(COUNT(E23:J23)=0,"",SUM(E23:J23))</f>
        <v/>
      </c>
      <c r="L23" s="13">
        <f>IF(K23="","",IF(K23&gt;=70,"HIRE",IF(K23&gt;=55,"BACKUP","NO")))</f>
        <v/>
      </c>
      <c r="M23" s="12" t="n"/>
      <c r="N23" s="12" t="n"/>
    </row>
    <row r="24">
      <c r="A24" s="7" t="n">
        <v>19</v>
      </c>
      <c r="B24" s="8" t="n"/>
      <c r="C24" s="8" t="n"/>
      <c r="D24" s="8" t="n"/>
      <c r="E24" s="7" t="n"/>
      <c r="F24" s="7" t="n"/>
      <c r="G24" s="7" t="n"/>
      <c r="H24" s="7" t="n"/>
      <c r="I24" s="7" t="n"/>
      <c r="J24" s="7" t="n"/>
      <c r="K24" s="9">
        <f>IF(COUNT(E24:J24)=0,"",SUM(E24:J24))</f>
        <v/>
      </c>
      <c r="L24" s="9">
        <f>IF(K24="","",IF(K24&gt;=70,"HIRE",IF(K24&gt;=55,"BACKUP","NO")))</f>
        <v/>
      </c>
      <c r="M24" s="8" t="n"/>
      <c r="N24" s="8" t="n"/>
    </row>
    <row r="25">
      <c r="A25" s="11" t="n">
        <v>20</v>
      </c>
      <c r="B25" s="12" t="n"/>
      <c r="C25" s="12" t="n"/>
      <c r="D25" s="12" t="n"/>
      <c r="E25" s="11" t="n"/>
      <c r="F25" s="11" t="n"/>
      <c r="G25" s="11" t="n"/>
      <c r="H25" s="11" t="n"/>
      <c r="I25" s="11" t="n"/>
      <c r="J25" s="11" t="n"/>
      <c r="K25" s="13">
        <f>IF(COUNT(E25:J25)=0,"",SUM(E25:J25))</f>
        <v/>
      </c>
      <c r="L25" s="13">
        <f>IF(K25="","",IF(K25&gt;=70,"HIRE",IF(K25&gt;=55,"BACKUP","NO")))</f>
        <v/>
      </c>
      <c r="M25" s="12" t="n"/>
      <c r="N25" s="12" t="n"/>
    </row>
    <row r="26">
      <c r="A26" s="7" t="n">
        <v>21</v>
      </c>
      <c r="B26" s="8" t="n"/>
      <c r="C26" s="8" t="n"/>
      <c r="D26" s="8" t="n"/>
      <c r="E26" s="7" t="n"/>
      <c r="F26" s="7" t="n"/>
      <c r="G26" s="7" t="n"/>
      <c r="H26" s="7" t="n"/>
      <c r="I26" s="7" t="n"/>
      <c r="J26" s="7" t="n"/>
      <c r="K26" s="9">
        <f>IF(COUNT(E26:J26)=0,"",SUM(E26:J26))</f>
        <v/>
      </c>
      <c r="L26" s="9">
        <f>IF(K26="","",IF(K26&gt;=70,"HIRE",IF(K26&gt;=55,"BACKUP","NO")))</f>
        <v/>
      </c>
      <c r="M26" s="8" t="n"/>
      <c r="N26" s="8" t="n"/>
    </row>
    <row r="27">
      <c r="A27" s="11" t="n">
        <v>22</v>
      </c>
      <c r="B27" s="12" t="n"/>
      <c r="C27" s="12" t="n"/>
      <c r="D27" s="12" t="n"/>
      <c r="E27" s="11" t="n"/>
      <c r="F27" s="11" t="n"/>
      <c r="G27" s="11" t="n"/>
      <c r="H27" s="11" t="n"/>
      <c r="I27" s="11" t="n"/>
      <c r="J27" s="11" t="n"/>
      <c r="K27" s="13">
        <f>IF(COUNT(E27:J27)=0,"",SUM(E27:J27))</f>
        <v/>
      </c>
      <c r="L27" s="13">
        <f>IF(K27="","",IF(K27&gt;=70,"HIRE",IF(K27&gt;=55,"BACKUP","NO")))</f>
        <v/>
      </c>
      <c r="M27" s="12" t="n"/>
      <c r="N27" s="12" t="n"/>
    </row>
    <row r="28">
      <c r="A28" s="7" t="n">
        <v>23</v>
      </c>
      <c r="B28" s="8" t="n"/>
      <c r="C28" s="8" t="n"/>
      <c r="D28" s="8" t="n"/>
      <c r="E28" s="7" t="n"/>
      <c r="F28" s="7" t="n"/>
      <c r="G28" s="7" t="n"/>
      <c r="H28" s="7" t="n"/>
      <c r="I28" s="7" t="n"/>
      <c r="J28" s="7" t="n"/>
      <c r="K28" s="9">
        <f>IF(COUNT(E28:J28)=0,"",SUM(E28:J28))</f>
        <v/>
      </c>
      <c r="L28" s="9">
        <f>IF(K28="","",IF(K28&gt;=70,"HIRE",IF(K28&gt;=55,"BACKUP","NO")))</f>
        <v/>
      </c>
      <c r="M28" s="8" t="n"/>
      <c r="N28" s="8" t="n"/>
    </row>
    <row r="29">
      <c r="A29" s="11" t="n">
        <v>24</v>
      </c>
      <c r="B29" s="12" t="n"/>
      <c r="C29" s="12" t="n"/>
      <c r="D29" s="12" t="n"/>
      <c r="E29" s="11" t="n"/>
      <c r="F29" s="11" t="n"/>
      <c r="G29" s="11" t="n"/>
      <c r="H29" s="11" t="n"/>
      <c r="I29" s="11" t="n"/>
      <c r="J29" s="11" t="n"/>
      <c r="K29" s="13">
        <f>IF(COUNT(E29:J29)=0,"",SUM(E29:J29))</f>
        <v/>
      </c>
      <c r="L29" s="13">
        <f>IF(K29="","",IF(K29&gt;=70,"HIRE",IF(K29&gt;=55,"BACKUP","NO")))</f>
        <v/>
      </c>
      <c r="M29" s="12" t="n"/>
      <c r="N29" s="12" t="n"/>
    </row>
    <row r="30">
      <c r="A30" s="7" t="n">
        <v>25</v>
      </c>
      <c r="B30" s="8" t="n"/>
      <c r="C30" s="8" t="n"/>
      <c r="D30" s="8" t="n"/>
      <c r="E30" s="7" t="n"/>
      <c r="F30" s="7" t="n"/>
      <c r="G30" s="7" t="n"/>
      <c r="H30" s="7" t="n"/>
      <c r="I30" s="7" t="n"/>
      <c r="J30" s="7" t="n"/>
      <c r="K30" s="9">
        <f>IF(COUNT(E30:J30)=0,"",SUM(E30:J30))</f>
        <v/>
      </c>
      <c r="L30" s="9">
        <f>IF(K30="","",IF(K30&gt;=70,"HIRE",IF(K30&gt;=55,"BACKUP","NO")))</f>
        <v/>
      </c>
      <c r="M30" s="8" t="n"/>
      <c r="N30" s="8" t="n"/>
    </row>
    <row r="31">
      <c r="A31" s="11" t="n">
        <v>26</v>
      </c>
      <c r="B31" s="12" t="n"/>
      <c r="C31" s="12" t="n"/>
      <c r="D31" s="12" t="n"/>
      <c r="E31" s="11" t="n"/>
      <c r="F31" s="11" t="n"/>
      <c r="G31" s="11" t="n"/>
      <c r="H31" s="11" t="n"/>
      <c r="I31" s="11" t="n"/>
      <c r="J31" s="11" t="n"/>
      <c r="K31" s="13">
        <f>IF(COUNT(E31:J31)=0,"",SUM(E31:J31))</f>
        <v/>
      </c>
      <c r="L31" s="13">
        <f>IF(K31="","",IF(K31&gt;=70,"HIRE",IF(K31&gt;=55,"BACKUP","NO")))</f>
        <v/>
      </c>
      <c r="M31" s="12" t="n"/>
      <c r="N31" s="12" t="n"/>
    </row>
    <row r="32">
      <c r="A32" s="7" t="n">
        <v>27</v>
      </c>
      <c r="B32" s="8" t="n"/>
      <c r="C32" s="8" t="n"/>
      <c r="D32" s="8" t="n"/>
      <c r="E32" s="7" t="n"/>
      <c r="F32" s="7" t="n"/>
      <c r="G32" s="7" t="n"/>
      <c r="H32" s="7" t="n"/>
      <c r="I32" s="7" t="n"/>
      <c r="J32" s="7" t="n"/>
      <c r="K32" s="9">
        <f>IF(COUNT(E32:J32)=0,"",SUM(E32:J32))</f>
        <v/>
      </c>
      <c r="L32" s="9">
        <f>IF(K32="","",IF(K32&gt;=70,"HIRE",IF(K32&gt;=55,"BACKUP","NO")))</f>
        <v/>
      </c>
      <c r="M32" s="8" t="n"/>
      <c r="N32" s="8" t="n"/>
    </row>
    <row r="33">
      <c r="A33" s="11" t="n">
        <v>28</v>
      </c>
      <c r="B33" s="12" t="n"/>
      <c r="C33" s="12" t="n"/>
      <c r="D33" s="12" t="n"/>
      <c r="E33" s="11" t="n"/>
      <c r="F33" s="11" t="n"/>
      <c r="G33" s="11" t="n"/>
      <c r="H33" s="11" t="n"/>
      <c r="I33" s="11" t="n"/>
      <c r="J33" s="11" t="n"/>
      <c r="K33" s="13">
        <f>IF(COUNT(E33:J33)=0,"",SUM(E33:J33))</f>
        <v/>
      </c>
      <c r="L33" s="13">
        <f>IF(K33="","",IF(K33&gt;=70,"HIRE",IF(K33&gt;=55,"BACKUP","NO")))</f>
        <v/>
      </c>
      <c r="M33" s="12" t="n"/>
      <c r="N33" s="12" t="n"/>
    </row>
    <row r="34">
      <c r="A34" s="7" t="n">
        <v>29</v>
      </c>
      <c r="B34" s="8" t="n"/>
      <c r="C34" s="8" t="n"/>
      <c r="D34" s="8" t="n"/>
      <c r="E34" s="7" t="n"/>
      <c r="F34" s="7" t="n"/>
      <c r="G34" s="7" t="n"/>
      <c r="H34" s="7" t="n"/>
      <c r="I34" s="7" t="n"/>
      <c r="J34" s="7" t="n"/>
      <c r="K34" s="9">
        <f>IF(COUNT(E34:J34)=0,"",SUM(E34:J34))</f>
        <v/>
      </c>
      <c r="L34" s="9">
        <f>IF(K34="","",IF(K34&gt;=70,"HIRE",IF(K34&gt;=55,"BACKUP","NO")))</f>
        <v/>
      </c>
      <c r="M34" s="8" t="n"/>
      <c r="N34" s="8" t="n"/>
    </row>
    <row r="35">
      <c r="A35" s="11" t="n">
        <v>30</v>
      </c>
      <c r="B35" s="12" t="n"/>
      <c r="C35" s="12" t="n"/>
      <c r="D35" s="12" t="n"/>
      <c r="E35" s="11" t="n"/>
      <c r="F35" s="11" t="n"/>
      <c r="G35" s="11" t="n"/>
      <c r="H35" s="11" t="n"/>
      <c r="I35" s="11" t="n"/>
      <c r="J35" s="11" t="n"/>
      <c r="K35" s="13">
        <f>IF(COUNT(E35:J35)=0,"",SUM(E35:J35))</f>
        <v/>
      </c>
      <c r="L35" s="13">
        <f>IF(K35="","",IF(K35&gt;=70,"HIRE",IF(K35&gt;=55,"BACKUP","NO")))</f>
        <v/>
      </c>
      <c r="M35" s="12" t="n"/>
      <c r="N35" s="12" t="n"/>
    </row>
  </sheetData>
  <conditionalFormatting sqref="L6:L35">
    <cfRule type="cellIs" priority="1" operator="equal" dxfId="0">
      <formula>"HIRE"</formula>
    </cfRule>
    <cfRule type="cellIs" priority="2" operator="equal" dxfId="1">
      <formula>"BACKUP"</formula>
    </cfRule>
    <cfRule type="cellIs" priority="3" operator="equal" dxfId="2">
      <formula>"NO"</formula>
    </cfRule>
  </conditionalFormatting>
  <dataValidations count="7">
    <dataValidation sqref="E6:E35" showDropDown="0" showInputMessage="0" showErrorMessage="0" allowBlank="1" errorTitle="Out of range" error="Enter 0-25" type="whole" operator="between">
      <formula1>0</formula1>
      <formula2>25</formula2>
    </dataValidation>
    <dataValidation sqref="F6:F35" showDropDown="0" showInputMessage="0" showErrorMessage="0" allowBlank="1" errorTitle="Out of range" error="Enter 0-20" type="whole" operator="between">
      <formula1>0</formula1>
      <formula2>20</formula2>
    </dataValidation>
    <dataValidation sqref="G6:G35" showDropDown="0" showInputMessage="0" showErrorMessage="0" allowBlank="1" errorTitle="Out of range" error="Enter 0-15" type="whole" operator="between">
      <formula1>0</formula1>
      <formula2>15</formula2>
    </dataValidation>
    <dataValidation sqref="H6:H35" showDropDown="0" showInputMessage="0" showErrorMessage="0" allowBlank="1" errorTitle="Out of range" error="Enter 0-15" type="whole" operator="between">
      <formula1>0</formula1>
      <formula2>15</formula2>
    </dataValidation>
    <dataValidation sqref="I6:I35" showDropDown="0" showInputMessage="0" showErrorMessage="0" allowBlank="1" errorTitle="Out of range" error="Enter 0-15" type="whole" operator="between">
      <formula1>0</formula1>
      <formula2>15</formula2>
    </dataValidation>
    <dataValidation sqref="J6:J35" showDropDown="0" showInputMessage="0" showErrorMessage="0" allowBlank="1" errorTitle="Out of range" error="Enter 0-10" type="whole" operator="between">
      <formula1>0</formula1>
      <formula2>10</formula2>
    </dataValidation>
    <dataValidation sqref="C6:C35" showDropDown="0" showInputMessage="0" showErrorMessage="0" allowBlank="1" type="list">
      <formula1>"MyCareersFuture,Carousell,Email,Referral"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42" customWidth="1" min="3" max="3"/>
    <col width="32" customWidth="1" min="4" max="4"/>
    <col width="32" customWidth="1" min="5" max="5"/>
  </cols>
  <sheetData>
    <row r="1">
      <c r="A1" s="17" t="inlineStr">
        <is>
          <t>HOW TO SCORE</t>
        </is>
      </c>
    </row>
    <row r="3">
      <c r="A3" s="18" t="inlineStr">
        <is>
          <t>Criterion</t>
        </is>
      </c>
      <c r="B3" s="18" t="inlineStr">
        <is>
          <t>Max</t>
        </is>
      </c>
      <c r="C3" s="18" t="inlineStr">
        <is>
          <t>Full score</t>
        </is>
      </c>
      <c r="D3" s="18" t="inlineStr">
        <is>
          <t>Half</t>
        </is>
      </c>
      <c r="E3" s="18" t="inlineStr">
        <is>
          <t>Zero</t>
        </is>
      </c>
    </row>
    <row r="4">
      <c r="A4" s="19" t="inlineStr">
        <is>
          <t>1. Weekday daytime availability</t>
        </is>
      </c>
      <c r="B4" s="19" t="n">
        <v>25</v>
      </c>
      <c r="C4" s="19" t="inlineStr">
        <is>
          <t>Free 3+ weekdays, 11am-3pm or 2pm-6pm, can start this week</t>
        </is>
      </c>
      <c r="D4" s="19" t="inlineStr">
        <is>
          <t>15 = 2 weekdays / 8 = weekends only</t>
        </is>
      </c>
      <c r="E4" s="19" t="inlineStr">
        <is>
          <t>Evenings only</t>
        </is>
      </c>
    </row>
    <row r="5">
      <c r="A5" s="19" t="inlineStr">
        <is>
          <t>2. Communication in first 5 min</t>
        </is>
      </c>
      <c r="B5" s="19" t="n">
        <v>20</v>
      </c>
      <c r="C5" s="19" t="inlineStr">
        <is>
          <t>Warm, clear, full sentences, asks a question back</t>
        </is>
      </c>
      <c r="D5" s="19" t="inlineStr">
        <is>
          <t>10 = polite but flat, one-word answers</t>
        </is>
      </c>
      <c r="E5" s="19" t="inlineStr">
        <is>
          <t>Hard to hear or follow</t>
        </is>
      </c>
    </row>
    <row r="6">
      <c r="A6" s="19" t="inlineStr">
        <is>
          <t>3. Face-to-face experience</t>
        </is>
      </c>
      <c r="B6" s="19" t="n">
        <v>15</v>
      </c>
      <c r="C6" s="19" t="inlineStr">
        <is>
          <t>6+ months approaching strangers (roadshow, retail floor, F&amp;B)</t>
        </is>
      </c>
      <c r="D6" s="19" t="inlineStr">
        <is>
          <t>8 = some counter service</t>
        </is>
      </c>
      <c r="E6" s="19" t="inlineStr">
        <is>
          <t>No public-facing work</t>
        </is>
      </c>
    </row>
    <row r="7">
      <c r="A7" s="19" t="inlineStr">
        <is>
          <t>4. Languages</t>
        </is>
      </c>
      <c r="B7" s="19" t="n">
        <v>15</v>
      </c>
      <c r="C7" s="19" t="inlineStr">
        <is>
          <t>Conversational English PLUS Mandarin or Malay</t>
        </is>
      </c>
      <c r="D7" s="19" t="inlineStr">
        <is>
          <t>9 = confident English only</t>
        </is>
      </c>
      <c r="E7" s="19" t="inlineStr">
        <is>
          <t>Cannot hold an English conversation</t>
        </is>
      </c>
    </row>
    <row r="8">
      <c r="A8" s="19" t="inlineStr">
        <is>
          <t>5. Commitment through launch</t>
        </is>
      </c>
      <c r="B8" s="19" t="n">
        <v>15</v>
      </c>
      <c r="C8" s="19" t="inlineStr">
        <is>
          <t>Commits to 8+ weeks, nothing in the way</t>
        </is>
      </c>
      <c r="D8" s="19" t="inlineStr">
        <is>
          <t>7 = 4-6 weeks</t>
        </is>
      </c>
      <c r="E8" s="19" t="inlineStr">
        <is>
          <t>'A week or two', or leaving Singapore</t>
        </is>
      </c>
    </row>
    <row r="9">
      <c r="A9" s="19" t="inlineStr">
        <is>
          <t>6. Can demo the app</t>
        </is>
      </c>
      <c r="B9" s="19" t="n">
        <v>10</v>
      </c>
      <c r="C9" s="19" t="inlineStr">
        <is>
          <t>Own smartphone with data, comfortable demoing</t>
        </is>
      </c>
      <c r="D9" s="19" t="inlineStr">
        <is>
          <t>5 = has phone, unsure about demoing</t>
        </is>
      </c>
      <c r="E9" s="19" t="inlineStr">
        <is>
          <t>No usable phone or data</t>
        </is>
      </c>
    </row>
    <row r="10">
      <c r="A10" s="19" t="inlineStr"/>
      <c r="B10" s="19" t="inlineStr"/>
      <c r="C10" s="19" t="inlineStr"/>
      <c r="D10" s="19" t="inlineStr"/>
      <c r="E10" s="19" t="inlineStr"/>
    </row>
    <row r="11">
      <c r="A11" s="20" t="inlineStr">
        <is>
          <t>NEVER SCORE OR RECORD</t>
        </is>
      </c>
      <c r="B11" s="19" t="inlineStr"/>
      <c r="C11" s="19" t="inlineStr">
        <is>
          <t>Gender, age, race, religion, marital status, nationality, family situation.</t>
        </is>
      </c>
      <c r="D11" s="19" t="inlineStr">
        <is>
          <t>MCF postings are screened by MOM/TAFEP.</t>
        </is>
      </c>
      <c r="E11" s="19" t="inlineStr">
        <is>
          <t>This file is the record of how we decided.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2026-08-29T01:53:18Z</dcterms:created>
  <dcterms:modified xmlns:dcterms="http://purl.org/dc/terms/" xmlns:xsi="http://www.w3.org/2001/XMLSchema-instance" xsi:type="dcterms:W3CDTF">2026-08-29T01:53:18Z</dcterms:modified>
</cp:coreProperties>
</file>